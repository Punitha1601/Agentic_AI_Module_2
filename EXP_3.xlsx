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odule_2\"/>
    </mc:Choice>
  </mc:AlternateContent>
  <bookViews>
    <workbookView xWindow="0" yWindow="0" windowWidth="20490" windowHeight="7650"/>
  </bookViews>
  <sheets>
    <sheet name="Student Database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2" i="1" l="1"/>
  <c r="G2" i="1"/>
  <c r="G3" i="1"/>
  <c r="E2" i="1"/>
  <c r="G21" i="1"/>
  <c r="F21" i="1"/>
  <c r="E21" i="1"/>
  <c r="F20" i="1"/>
  <c r="G20" i="1" s="1"/>
  <c r="E20" i="1"/>
  <c r="F19" i="1"/>
  <c r="G19" i="1" s="1"/>
  <c r="E19" i="1"/>
  <c r="F18" i="1"/>
  <c r="G18" i="1" s="1"/>
  <c r="E18" i="1"/>
  <c r="F17" i="1"/>
  <c r="G17" i="1" s="1"/>
  <c r="E17" i="1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F11" i="1"/>
  <c r="G11" i="1" s="1"/>
  <c r="E11" i="1"/>
  <c r="G10" i="1"/>
  <c r="F10" i="1"/>
  <c r="E10" i="1"/>
  <c r="F9" i="1"/>
  <c r="G9" i="1" s="1"/>
  <c r="E9" i="1"/>
  <c r="F8" i="1"/>
  <c r="G8" i="1" s="1"/>
  <c r="E8" i="1"/>
  <c r="F7" i="1"/>
  <c r="G7" i="1" s="1"/>
  <c r="E7" i="1"/>
  <c r="G6" i="1"/>
  <c r="F6" i="1"/>
  <c r="E6" i="1"/>
  <c r="F5" i="1"/>
  <c r="G5" i="1" s="1"/>
  <c r="E5" i="1"/>
  <c r="F4" i="1"/>
  <c r="G4" i="1" s="1"/>
  <c r="E4" i="1"/>
  <c r="F3" i="1"/>
  <c r="E3" i="1"/>
</calcChain>
</file>

<file path=xl/sharedStrings.xml><?xml version="1.0" encoding="utf-8"?>
<sst xmlns="http://schemas.openxmlformats.org/spreadsheetml/2006/main" count="27" uniqueCount="27">
  <si>
    <t>Student Name</t>
  </si>
  <si>
    <t>Math</t>
  </si>
  <si>
    <t>Science</t>
  </si>
  <si>
    <t>English</t>
  </si>
  <si>
    <t>Total</t>
  </si>
  <si>
    <t>Average</t>
  </si>
  <si>
    <t>Status</t>
  </si>
  <si>
    <t>Aarav Sharma</t>
  </si>
  <si>
    <t>Vivaan Patel</t>
  </si>
  <si>
    <t>Aditya Verma</t>
  </si>
  <si>
    <t>Vihaan Gupta</t>
  </si>
  <si>
    <t>Arjun Reddy</t>
  </si>
  <si>
    <t>Sai Kumar</t>
  </si>
  <si>
    <t>Reyansh Joshi</t>
  </si>
  <si>
    <t>Krishna Murthy</t>
  </si>
  <si>
    <t>Ishaan Nair</t>
  </si>
  <si>
    <t>Shaurya Singh</t>
  </si>
  <si>
    <t>Diya Iyer</t>
  </si>
  <si>
    <t>Ananya Rao</t>
  </si>
  <si>
    <t>Aadhya Choudhury</t>
  </si>
  <si>
    <t>Pari Mishra</t>
  </si>
  <si>
    <t>Avani Kulkarni</t>
  </si>
  <si>
    <t>Saanvi Deshmukh</t>
  </si>
  <si>
    <t>Anika Banerjee</t>
  </si>
  <si>
    <t>Zara Khan</t>
  </si>
  <si>
    <t>Prisha Mehta</t>
  </si>
  <si>
    <t>Anvi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</si>
</sst>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accent2"/>
                </a:solidFill>
              </a:rPr>
              <a:t>Total</a:t>
            </a:r>
            <a:r>
              <a:rPr lang="en-US" sz="1800" baseline="0">
                <a:solidFill>
                  <a:schemeClr val="accent2"/>
                </a:solidFill>
              </a:rPr>
              <a:t> Marks</a:t>
            </a:r>
            <a:endParaRPr lang="en-US" sz="1800">
              <a:solidFill>
                <a:schemeClr val="accent2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'Student Database'!$E$2:$E$21</c:f>
              <c:numCache>
                <c:formatCode>General</c:formatCode>
                <c:ptCount val="20"/>
                <c:pt idx="0">
                  <c:v>268</c:v>
                </c:pt>
                <c:pt idx="1">
                  <c:v>139</c:v>
                </c:pt>
                <c:pt idx="2">
                  <c:v>222</c:v>
                </c:pt>
                <c:pt idx="3">
                  <c:v>198</c:v>
                </c:pt>
                <c:pt idx="4">
                  <c:v>226</c:v>
                </c:pt>
                <c:pt idx="5">
                  <c:v>187</c:v>
                </c:pt>
                <c:pt idx="6">
                  <c:v>194</c:v>
                </c:pt>
                <c:pt idx="7">
                  <c:v>210</c:v>
                </c:pt>
                <c:pt idx="8">
                  <c:v>227</c:v>
                </c:pt>
                <c:pt idx="9">
                  <c:v>188</c:v>
                </c:pt>
                <c:pt idx="10">
                  <c:v>191</c:v>
                </c:pt>
                <c:pt idx="11">
                  <c:v>237</c:v>
                </c:pt>
                <c:pt idx="12">
                  <c:v>148</c:v>
                </c:pt>
                <c:pt idx="13">
                  <c:v>231</c:v>
                </c:pt>
                <c:pt idx="14">
                  <c:v>214</c:v>
                </c:pt>
                <c:pt idx="15">
                  <c:v>230</c:v>
                </c:pt>
                <c:pt idx="16">
                  <c:v>228</c:v>
                </c:pt>
                <c:pt idx="17">
                  <c:v>219</c:v>
                </c:pt>
                <c:pt idx="18">
                  <c:v>137</c:v>
                </c:pt>
                <c:pt idx="19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3-4F82-B56A-B9B5DCE11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484464"/>
        <c:axId val="298484880"/>
      </c:barChart>
      <c:catAx>
        <c:axId val="298484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84880"/>
        <c:crosses val="autoZero"/>
        <c:auto val="1"/>
        <c:lblAlgn val="ctr"/>
        <c:lblOffset val="100"/>
        <c:noMultiLvlLbl val="0"/>
      </c:catAx>
      <c:valAx>
        <c:axId val="2984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48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4</xdr:row>
      <xdr:rowOff>104775</xdr:rowOff>
    </xdr:from>
    <xdr:to>
      <xdr:col>15</xdr:col>
      <xdr:colOff>276225</xdr:colOff>
      <xdr:row>18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G2" sqref="G2"/>
    </sheetView>
  </sheetViews>
  <sheetFormatPr defaultRowHeight="15" x14ac:dyDescent="0.25"/>
  <cols>
    <col min="6" max="6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78</v>
      </c>
      <c r="C2">
        <v>97</v>
      </c>
      <c r="D2">
        <v>93</v>
      </c>
      <c r="E2">
        <f>SUM(B2:D2)</f>
        <v>268</v>
      </c>
      <c r="F2">
        <f>AVERAGE(B2:D2)</f>
        <v>89.333333333333329</v>
      </c>
      <c r="G2" t="str">
        <f>IF(F2&gt;=50, "Pass", "Fail")</f>
        <v>Pass</v>
      </c>
    </row>
    <row r="3" spans="1:7" x14ac:dyDescent="0.25">
      <c r="A3" t="s">
        <v>8</v>
      </c>
      <c r="B3">
        <v>41</v>
      </c>
      <c r="C3">
        <v>46</v>
      </c>
      <c r="D3">
        <v>52</v>
      </c>
      <c r="E3">
        <f t="shared" ref="E2:E21" si="0">SUM(B3:D3)</f>
        <v>139</v>
      </c>
      <c r="F3">
        <f t="shared" ref="F2:F21" si="1">AVERAGE(B3:D3)</f>
        <v>46.333333333333336</v>
      </c>
      <c r="G3" t="str">
        <f>IF(F3&gt;=50, "Pass", "Fail")</f>
        <v>Fail</v>
      </c>
    </row>
    <row r="4" spans="1:7" x14ac:dyDescent="0.25">
      <c r="A4" t="s">
        <v>9</v>
      </c>
      <c r="B4">
        <v>68</v>
      </c>
      <c r="C4">
        <v>68</v>
      </c>
      <c r="D4">
        <v>86</v>
      </c>
      <c r="E4">
        <f t="shared" si="0"/>
        <v>222</v>
      </c>
      <c r="F4">
        <f t="shared" si="1"/>
        <v>74</v>
      </c>
      <c r="G4" t="str">
        <f t="shared" ref="G2:G21" si="2">IF(F4&gt;=50, "Pass", "Fail")</f>
        <v>Pass</v>
      </c>
    </row>
    <row r="5" spans="1:7" x14ac:dyDescent="0.25">
      <c r="A5" t="s">
        <v>10</v>
      </c>
      <c r="B5">
        <v>54</v>
      </c>
      <c r="C5">
        <v>88</v>
      </c>
      <c r="D5">
        <v>56</v>
      </c>
      <c r="E5">
        <f t="shared" si="0"/>
        <v>198</v>
      </c>
      <c r="F5">
        <f t="shared" si="1"/>
        <v>66</v>
      </c>
      <c r="G5" t="str">
        <f t="shared" si="2"/>
        <v>Pass</v>
      </c>
    </row>
    <row r="6" spans="1:7" x14ac:dyDescent="0.25">
      <c r="A6" t="s">
        <v>11</v>
      </c>
      <c r="B6">
        <v>82</v>
      </c>
      <c r="C6">
        <v>74</v>
      </c>
      <c r="D6">
        <v>70</v>
      </c>
      <c r="E6">
        <f t="shared" si="0"/>
        <v>226</v>
      </c>
      <c r="F6">
        <f t="shared" si="1"/>
        <v>75.333333333333329</v>
      </c>
      <c r="G6" t="str">
        <f t="shared" si="2"/>
        <v>Pass</v>
      </c>
    </row>
    <row r="7" spans="1:7" x14ac:dyDescent="0.25">
      <c r="A7" t="s">
        <v>12</v>
      </c>
      <c r="B7">
        <v>47</v>
      </c>
      <c r="C7">
        <v>82</v>
      </c>
      <c r="D7">
        <v>58</v>
      </c>
      <c r="E7">
        <f t="shared" si="0"/>
        <v>187</v>
      </c>
      <c r="F7">
        <f t="shared" si="1"/>
        <v>62.333333333333336</v>
      </c>
      <c r="G7" t="str">
        <f t="shared" si="2"/>
        <v>Pass</v>
      </c>
    </row>
    <row r="8" spans="1:7" x14ac:dyDescent="0.25">
      <c r="A8" t="s">
        <v>13</v>
      </c>
      <c r="B8">
        <v>60</v>
      </c>
      <c r="C8">
        <v>46</v>
      </c>
      <c r="D8">
        <v>88</v>
      </c>
      <c r="E8">
        <f t="shared" si="0"/>
        <v>194</v>
      </c>
      <c r="F8">
        <f t="shared" si="1"/>
        <v>64.666666666666671</v>
      </c>
      <c r="G8" t="str">
        <f t="shared" si="2"/>
        <v>Pass</v>
      </c>
    </row>
    <row r="9" spans="1:7" x14ac:dyDescent="0.25">
      <c r="A9" t="s">
        <v>14</v>
      </c>
      <c r="B9">
        <v>78</v>
      </c>
      <c r="C9">
        <v>65</v>
      </c>
      <c r="D9">
        <v>67</v>
      </c>
      <c r="E9">
        <f t="shared" si="0"/>
        <v>210</v>
      </c>
      <c r="F9">
        <f t="shared" si="1"/>
        <v>70</v>
      </c>
      <c r="G9" t="str">
        <f t="shared" si="2"/>
        <v>Pass</v>
      </c>
    </row>
    <row r="10" spans="1:7" x14ac:dyDescent="0.25">
      <c r="A10" t="s">
        <v>15</v>
      </c>
      <c r="B10">
        <v>97</v>
      </c>
      <c r="C10">
        <v>77</v>
      </c>
      <c r="D10">
        <v>53</v>
      </c>
      <c r="E10">
        <f t="shared" si="0"/>
        <v>227</v>
      </c>
      <c r="F10">
        <f t="shared" si="1"/>
        <v>75.666666666666671</v>
      </c>
      <c r="G10" t="str">
        <f t="shared" si="2"/>
        <v>Pass</v>
      </c>
    </row>
    <row r="11" spans="1:7" x14ac:dyDescent="0.25">
      <c r="A11" t="s">
        <v>16</v>
      </c>
      <c r="B11">
        <v>58</v>
      </c>
      <c r="C11">
        <v>56</v>
      </c>
      <c r="D11">
        <v>74</v>
      </c>
      <c r="E11">
        <f t="shared" si="0"/>
        <v>188</v>
      </c>
      <c r="F11">
        <f t="shared" si="1"/>
        <v>62.666666666666664</v>
      </c>
      <c r="G11" t="str">
        <f t="shared" si="2"/>
        <v>Pass</v>
      </c>
    </row>
    <row r="12" spans="1:7" x14ac:dyDescent="0.25">
      <c r="A12" t="s">
        <v>17</v>
      </c>
      <c r="B12">
        <v>62</v>
      </c>
      <c r="C12">
        <v>66</v>
      </c>
      <c r="D12">
        <v>63</v>
      </c>
      <c r="E12">
        <f t="shared" si="0"/>
        <v>191</v>
      </c>
      <c r="F12">
        <f t="shared" si="1"/>
        <v>63.666666666666664</v>
      </c>
      <c r="G12" t="str">
        <f t="shared" si="2"/>
        <v>Pass</v>
      </c>
    </row>
    <row r="13" spans="1:7" x14ac:dyDescent="0.25">
      <c r="A13" t="s">
        <v>18</v>
      </c>
      <c r="B13">
        <v>50</v>
      </c>
      <c r="C13">
        <v>88</v>
      </c>
      <c r="D13">
        <v>99</v>
      </c>
      <c r="E13">
        <f t="shared" si="0"/>
        <v>237</v>
      </c>
      <c r="F13">
        <f t="shared" si="1"/>
        <v>79</v>
      </c>
      <c r="G13" t="str">
        <f t="shared" si="2"/>
        <v>Pass</v>
      </c>
    </row>
    <row r="14" spans="1:7" x14ac:dyDescent="0.25">
      <c r="A14" t="s">
        <v>19</v>
      </c>
      <c r="B14">
        <v>50</v>
      </c>
      <c r="C14">
        <v>50</v>
      </c>
      <c r="D14">
        <v>48</v>
      </c>
      <c r="E14">
        <f t="shared" si="0"/>
        <v>148</v>
      </c>
      <c r="F14">
        <f t="shared" si="1"/>
        <v>49.333333333333336</v>
      </c>
      <c r="G14" t="str">
        <f t="shared" si="2"/>
        <v>Fail</v>
      </c>
    </row>
    <row r="15" spans="1:7" x14ac:dyDescent="0.25">
      <c r="A15" t="s">
        <v>20</v>
      </c>
      <c r="B15">
        <v>63</v>
      </c>
      <c r="C15">
        <v>93</v>
      </c>
      <c r="D15">
        <v>75</v>
      </c>
      <c r="E15">
        <f t="shared" si="0"/>
        <v>231</v>
      </c>
      <c r="F15">
        <f t="shared" si="1"/>
        <v>77</v>
      </c>
      <c r="G15" t="str">
        <f t="shared" si="2"/>
        <v>Pass</v>
      </c>
    </row>
    <row r="16" spans="1:7" x14ac:dyDescent="0.25">
      <c r="A16" t="s">
        <v>21</v>
      </c>
      <c r="B16">
        <v>92</v>
      </c>
      <c r="C16">
        <v>71</v>
      </c>
      <c r="D16">
        <v>51</v>
      </c>
      <c r="E16">
        <f t="shared" si="0"/>
        <v>214</v>
      </c>
      <c r="F16">
        <f t="shared" si="1"/>
        <v>71.333333333333329</v>
      </c>
      <c r="G16" t="str">
        <f t="shared" si="2"/>
        <v>Pass</v>
      </c>
    </row>
    <row r="17" spans="1:7" x14ac:dyDescent="0.25">
      <c r="A17" t="s">
        <v>22</v>
      </c>
      <c r="B17">
        <v>75</v>
      </c>
      <c r="C17">
        <v>86</v>
      </c>
      <c r="D17">
        <v>69</v>
      </c>
      <c r="E17">
        <f t="shared" si="0"/>
        <v>230</v>
      </c>
      <c r="F17">
        <f t="shared" si="1"/>
        <v>76.666666666666671</v>
      </c>
      <c r="G17" t="str">
        <f t="shared" si="2"/>
        <v>Pass</v>
      </c>
    </row>
    <row r="18" spans="1:7" x14ac:dyDescent="0.25">
      <c r="A18" t="s">
        <v>23</v>
      </c>
      <c r="B18">
        <v>79</v>
      </c>
      <c r="C18">
        <v>72</v>
      </c>
      <c r="D18">
        <v>77</v>
      </c>
      <c r="E18">
        <f t="shared" si="0"/>
        <v>228</v>
      </c>
      <c r="F18">
        <f t="shared" si="1"/>
        <v>76</v>
      </c>
      <c r="G18" t="str">
        <f t="shared" si="2"/>
        <v>Pass</v>
      </c>
    </row>
    <row r="19" spans="1:7" x14ac:dyDescent="0.25">
      <c r="A19" t="s">
        <v>24</v>
      </c>
      <c r="B19">
        <v>63</v>
      </c>
      <c r="C19">
        <v>60</v>
      </c>
      <c r="D19">
        <v>96</v>
      </c>
      <c r="E19">
        <f t="shared" si="0"/>
        <v>219</v>
      </c>
      <c r="F19">
        <f t="shared" si="1"/>
        <v>73</v>
      </c>
      <c r="G19" t="str">
        <f t="shared" si="2"/>
        <v>Pass</v>
      </c>
    </row>
    <row r="20" spans="1:7" x14ac:dyDescent="0.25">
      <c r="A20" t="s">
        <v>25</v>
      </c>
      <c r="B20">
        <v>42</v>
      </c>
      <c r="C20">
        <v>39</v>
      </c>
      <c r="D20">
        <v>56</v>
      </c>
      <c r="E20">
        <f t="shared" si="0"/>
        <v>137</v>
      </c>
      <c r="F20">
        <f t="shared" si="1"/>
        <v>45.666666666666664</v>
      </c>
      <c r="G20" t="str">
        <f t="shared" si="2"/>
        <v>Fail</v>
      </c>
    </row>
    <row r="21" spans="1:7" x14ac:dyDescent="0.25">
      <c r="A21" t="s">
        <v>26</v>
      </c>
      <c r="B21">
        <v>61</v>
      </c>
      <c r="C21">
        <v>91</v>
      </c>
      <c r="D21">
        <v>93</v>
      </c>
      <c r="E21">
        <f t="shared" si="0"/>
        <v>245</v>
      </c>
      <c r="F21">
        <f t="shared" si="1"/>
        <v>81.666666666666671</v>
      </c>
      <c r="G21" t="str">
        <f t="shared" si="2"/>
        <v>Pass</v>
      </c>
    </row>
  </sheetData>
  <conditionalFormatting sqref="E2:E21">
    <cfRule type="cellIs" dxfId="1" priority="5" operator="greaterThan">
      <formula>202.5</formula>
    </cfRule>
  </conditionalFormatting>
  <conditionalFormatting sqref="G2:G21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G2">
    <cfRule type="colorScale" priority="3">
      <colorScale>
        <cfvo type="min"/>
        <cfvo type="max"/>
        <color rgb="FFFF7128"/>
        <color rgb="FFFFEF9C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F2:F2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2026-10-07T08:22:08Z</dcterms:created>
  <dcterms:modified xsi:type="dcterms:W3CDTF">2026-10-07T08:34:29Z</dcterms:modified>
</cp:coreProperties>
</file>